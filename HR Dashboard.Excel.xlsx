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20af5ecae14483e/Desktop/"/>
    </mc:Choice>
  </mc:AlternateContent>
  <xr:revisionPtr revIDLastSave="3" documentId="8_{A0E38F0F-C072-4423-955A-C4F6D320CC24}" xr6:coauthVersionLast="47" xr6:coauthVersionMax="47" xr10:uidLastSave="{A14C5B46-7FB1-4B05-960A-A04A696A78D5}"/>
  <bookViews>
    <workbookView xWindow="-108" yWindow="-108" windowWidth="23256" windowHeight="12456" activeTab="1" xr2:uid="{26D4546B-D2A1-4444-8EAF-A6228F96F0C1}"/>
  </bookViews>
  <sheets>
    <sheet name="Data" sheetId="1" r:id="rId1"/>
    <sheet name="Dashboard" sheetId="7" r:id="rId2"/>
    <sheet name="Calc" sheetId="6" r:id="rId3"/>
  </sheets>
  <definedNames>
    <definedName name="_xlcn.WorksheetConnection_telugudashboardblank.xlsxChoco1" hidden="1">Choco[]</definedName>
  </definedNames>
  <calcPr calcId="191029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o" name="Choco" connection="WorksheetConnection_telugu-dashboard-blank.xlsx!Choc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7" l="1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0759E9-4FE9-4717-B1BA-23C269834DB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2B269F5-6E2D-44B4-980C-2C2256D3272D}" name="WorksheetConnection_telugu-dashboard-blank.xlsx!Choco" type="102" refreshedVersion="8" minRefreshableVersion="5">
    <extLst>
      <ext xmlns:x15="http://schemas.microsoft.com/office/spreadsheetml/2010/11/main" uri="{DE250136-89BD-433C-8126-D09CA5730AF9}">
        <x15:connection id="Choco" autoDelete="1">
          <x15:rangePr sourceName="_xlcn.WorksheetConnection_telugudashboardblank.xlsxChoco1"/>
        </x15:connection>
      </ext>
    </extLst>
  </connection>
</connections>
</file>

<file path=xl/sharedStrings.xml><?xml version="1.0" encoding="utf-8"?>
<sst xmlns="http://schemas.openxmlformats.org/spreadsheetml/2006/main" count="7293" uniqueCount="79">
  <si>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</si>
  <si>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</si>
  <si>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</si>
  <si>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</si>
  <si>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</si>
  <si>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</si>
  <si>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</si>
  <si>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</si>
  <si>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</si>
  <si>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</si>
  <si>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</si>
  <si>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</si>
  <si>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</si>
  <si>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</si>
  <si>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</si>
  <si>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</si>
  <si>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</si>
  <si>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</si>
  <si>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</si>
  <si>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</si>
  <si>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</si>
  <si>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</si>
  <si>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</si>
  <si>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</si>
  <si>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</si>
  <si>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</si>
  <si>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</si>
  <si>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</si>
  <si>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</si>
  <si>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</si>
  <si>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</si>
  <si>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</si>
  <si>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</si>
  <si>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</si>
  <si>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</si>
  <si>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</si>
  <si>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</si>
  <si>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</si>
  <si>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</si>
  <si>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</si>
  <si>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</si>
  <si>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</si>
  <si>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</si>
  <si>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</si>
  <si>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</si>
  <si>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</si>
  <si>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</si>
  <si>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</si>
  <si>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</si>
  <si>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</si>
  <si>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</si>
  <si>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</si>
  <si>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</si>
  <si>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</si>
  <si>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</si>
  <si>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</si>
  <si>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</si>
  <si>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</si>
  <si>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</si>
  <si>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</si>
  <si>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</si>
  <si>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</si>
  <si>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</si>
  <si>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Excel Dashboard</t>
  </si>
  <si>
    <t>Column1</t>
  </si>
  <si>
    <t>Sum of Amount</t>
  </si>
  <si>
    <t>Sum of Boxes</t>
  </si>
  <si>
    <t>Count of Product</t>
  </si>
  <si>
    <t>Distinct Count of Sales Person</t>
  </si>
  <si>
    <t>Avg . Amount per person</t>
  </si>
  <si>
    <t>Total Sales</t>
  </si>
  <si>
    <t>Total Boxes</t>
  </si>
  <si>
    <t>Sales per person</t>
  </si>
  <si>
    <t>Total shipments</t>
  </si>
  <si>
    <t>Row Labels</t>
  </si>
  <si>
    <t>Grand Total</t>
  </si>
  <si>
    <t>Sales</t>
  </si>
  <si>
    <t>Shipments</t>
  </si>
  <si>
    <t>HR DASHBOARD - AWESOME CHOCOLATES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</si>
</sst>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A]#,##0"/>
    <numFmt numFmtId="165" formatCode="[$₹-44A]#,##0.00"/>
    <numFmt numFmtId="166" formatCode="\$#,##0;\(\$#,##0\);\$#,##0"/>
  </numFmts>
  <fonts count="9" x14ac:knownFonts="1">
    <font>
      <sz val="11"/>
      <color theme="1"/>
      <name val="Arial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 Black"/>
      <family val="2"/>
      <scheme val="major"/>
    </font>
    <font>
      <sz val="12"/>
      <color theme="1"/>
      <name val="Arial Black"/>
      <family val="2"/>
    </font>
    <font>
      <sz val="12"/>
      <color theme="1"/>
      <name val="Arial Black"/>
      <family val="2"/>
      <scheme val="major"/>
    </font>
    <font>
      <u/>
      <sz val="14"/>
      <color theme="1"/>
      <name val="Arial"/>
      <family val="2"/>
      <scheme val="minor"/>
    </font>
    <font>
      <b/>
      <u/>
      <sz val="2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/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4" fillId="7" borderId="0" xfId="0" applyFont="1" applyFill="1" applyAlignment="1">
      <alignment horizontal="center"/>
    </xf>
    <xf numFmtId="0" fontId="3" fillId="6" borderId="2" xfId="0" applyFont="1" applyFill="1" applyBorder="1"/>
    <xf numFmtId="0" fontId="3" fillId="0" borderId="2" xfId="0" applyFont="1" applyBorder="1"/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6" fontId="6" fillId="5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</cellXfs>
  <cellStyles count="1">
    <cellStyle name="Normal" xfId="0" builtinId="0"/>
  </cellStyles>
  <dxfs count="13"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6"/>
        </patternFill>
      </fill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indexed="64"/>
        </bottom>
      </border>
    </dxf>
    <dxf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Dashboard.Excel.xlsx]Calc!PivotTable13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</a:t>
            </a:r>
            <a:r>
              <a:rPr lang="en-IN"/>
              <a:t>Geography </a:t>
            </a:r>
            <a:endParaRPr lang="en-US"/>
          </a:p>
        </c:rich>
      </c:tx>
      <c:layout>
        <c:manualLayout>
          <c:xMode val="edge"/>
          <c:yMode val="edge"/>
          <c:x val="0.32417366579177609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Calc!$B$12:$B$18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Calc!$C$12:$C$18</c:f>
              <c:numCache>
                <c:formatCode>General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6-4024-9D7E-6F3D9D38AF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1730815"/>
        <c:axId val="1411732735"/>
      </c:barChart>
      <c:catAx>
        <c:axId val="14117308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32735"/>
        <c:crosses val="autoZero"/>
        <c:auto val="1"/>
        <c:lblAlgn val="ctr"/>
        <c:lblOffset val="100"/>
        <c:noMultiLvlLbl val="0"/>
      </c:catAx>
      <c:valAx>
        <c:axId val="1411732735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3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Dashboard.Excel.xlsx]Calc!PivotTable14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</a:t>
            </a:r>
            <a:r>
              <a:rPr lang="en-IN"/>
              <a:t>Category </a:t>
            </a:r>
            <a:endParaRPr lang="en-US"/>
          </a:p>
        </c:rich>
      </c:tx>
      <c:layout>
        <c:manualLayout>
          <c:xMode val="edge"/>
          <c:yMode val="edge"/>
          <c:x val="0.2001139453376711"/>
          <c:y val="0.10083114610673666"/>
        </c:manualLayout>
      </c:layout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solidFill>
            <a:schemeClr val="accent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1136757415127024"/>
              <c:y val="0.168752916302128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657626130067075"/>
              <c:y val="-0.110520559930008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20612852315029262"/>
              <c:y val="3.48323126275882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20612852315029262"/>
              <c:y val="3.48323126275882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657626130067075"/>
              <c:y val="-0.110520559930008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1136757415127024"/>
              <c:y val="0.168752916302128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50000"/>
            </a:schemeClr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20612852315029262"/>
              <c:y val="3.48323126275882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657626130067075"/>
              <c:y val="-0.110520559930008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1136757415127024"/>
              <c:y val="0.168752916302128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5D-43B3-BCCB-41490F578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5D-43B3-BCCB-41490F57819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5D-43B3-BCCB-41490F578192}"/>
              </c:ext>
            </c:extLst>
          </c:dPt>
          <c:dLbls>
            <c:dLbl>
              <c:idx val="0"/>
              <c:layout>
                <c:manualLayout>
                  <c:x val="-0.20612852315029262"/>
                  <c:y val="3.48323126275882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5D-43B3-BCCB-41490F578192}"/>
                </c:ext>
              </c:extLst>
            </c:dLbl>
            <c:dLbl>
              <c:idx val="1"/>
              <c:layout>
                <c:manualLayout>
                  <c:x val="0.1657626130067075"/>
                  <c:y val="-0.1105205599300088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5D-43B3-BCCB-41490F578192}"/>
                </c:ext>
              </c:extLst>
            </c:dLbl>
            <c:dLbl>
              <c:idx val="2"/>
              <c:layout>
                <c:manualLayout>
                  <c:x val="0.11136757415127024"/>
                  <c:y val="0.168752916302128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5D-43B3-BCCB-41490F5781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Calc!$B$25:$B$28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Calc!$C$25:$C$28</c:f>
              <c:numCache>
                <c:formatCode>General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5D-43B3-BCCB-41490F57819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8</xdr:row>
      <xdr:rowOff>99060</xdr:rowOff>
    </xdr:from>
    <xdr:to>
      <xdr:col>5</xdr:col>
      <xdr:colOff>335280</xdr:colOff>
      <xdr:row>24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B3BE0D-EB0C-43E1-91F5-4AD981E71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708660</xdr:colOff>
      <xdr:row>8</xdr:row>
      <xdr:rowOff>53340</xdr:rowOff>
    </xdr:from>
    <xdr:to>
      <xdr:col>9</xdr:col>
      <xdr:colOff>7620</xdr:colOff>
      <xdr:row>23</xdr:row>
      <xdr:rowOff>213360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A40E1F-E606-4674-A486-ABDBF69B0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uthi" refreshedDate="46224.802518402779" backgroundQuery="1" createdVersion="8" refreshedVersion="8" minRefreshableVersion="3" recordCount="0" supportSubquery="1" supportAdvancedDrill="1" xr:uid="{07F0C18F-0A15-4414-8233-E135EE158E84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Distinct Count of Sales Person]" caption="Distinct Count of Sales Person" numFmtId="0" hierarchy="11" level="32767"/>
    <cacheField name="[Measures].[Avg . Amount per person]" caption="Avg . Amount per person" numFmtId="0" hierarchy="12" level="32767"/>
  </cacheFields>
  <cacheHierarchies count="15">
    <cacheHierarchy uniqueName="[Choco].[Country]" caption="Country" attribute="1" defaultMemberUniqueName="[Choco].[Country].[All]" allUniqueName="[Choco].[Country].[All]" dimensionUniqueName="[Choco]" displayFolder="" count="0" memberValueDatatype="130" unbalanced="0"/>
    <cacheHierarchy uniqueName="[Choco].[Product]" caption="Product" attribute="1" defaultMemberUniqueName="[Choco].[Product].[All]" allUniqueName="[Choco].[Product].[All]" dimensionUniqueName="[Choco]" displayFolder="" count="0" memberValueDatatype="130" unbalanced="0"/>
    <cacheHierarchy uniqueName="[Choco].[Sales Person]" caption="Sales Person" attribute="1" defaultMemberUniqueName="[Choco].[Sales Person].[All]" allUniqueName="[Choco].[Sales Person].[All]" dimensionUniqueName="[Choco]" displayFolder="" count="0" memberValueDatatype="130" unbalanced="0"/>
    <cacheHierarchy uniqueName="[Choco].[Date]" caption="Date" attribute="1" time="1" defaultMemberUniqueName="[Choco].[Date].[All]" allUniqueName="[Choco].[Date].[All]" dimensionUniqueName="[Choco]" displayFolder="" count="0" memberValueDatatype="7" unbalanced="0"/>
    <cacheHierarchy uniqueName="[Choco].[Amount]" caption="Amount" attribute="1" defaultMemberUniqueName="[Choco].[Amount].[All]" allUniqueName="[Choco].[Amount].[All]" dimensionUniqueName="[Choco]" displayFolder="" count="0" memberValueDatatype="5" unbalanced="0"/>
    <cacheHierarchy uniqueName="[Choco].[Boxes]" caption="Boxes" attribute="1" defaultMemberUniqueName="[Choco].[Boxes].[All]" allUniqueName="[Choco].[Boxes].[All]" dimensionUniqueName="[Choco]" displayFolder="" count="0" memberValueDatatype="20" unbalanced="0"/>
    <cacheHierarchy uniqueName="[Choco].[Category]" caption="Category" attribute="1" defaultMemberUniqueName="[Choco].[Category].[All]" allUniqueName="[Choco].[Category].[All]" dimensionUniqueName="[Choco]" displayFolder="" count="0" memberValueDatatype="130" unbalanced="0"/>
    <cacheHierarchy uniqueName="[Measures].[Sum of Amount]" caption="Sum of Amount" measure="1" displayFolder="" measureGroup="Choc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o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 . Amount per person]" caption="Avg . Amount per person" measure="1" displayFolder="" measureGroup="Choco" count="0" oneField="1">
      <fieldsUsage count="1">
        <fieldUsage x="4"/>
      </fieldsUsage>
    </cacheHierarchy>
    <cacheHierarchy uniqueName="[Measures].[__XL_Count Choco]" caption="__XL_Count Choco" measure="1" displayFolder="" measureGroup="Choco" count="0" hidden="1"/>
    <cacheHierarchy uniqueName="[Measures].[__No measures defined]" caption="__No measures defined" measure="1" displayFolder="" count="0" hidden="1"/>
  </cacheHierarchies>
  <kpis count="0"/>
  <dimensions count="2">
    <dimension name="Choco" uniqueName="[Choco]" caption="Choco"/>
    <dimension measure="1" name="Measures" uniqueName="[Measures]" caption="Measures"/>
  </dimensions>
  <measureGroups count="1">
    <measureGroup name="Choco" caption="Cho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uthi" refreshedDate="46224.841508680554" backgroundQuery="1" createdVersion="8" refreshedVersion="8" minRefreshableVersion="3" recordCount="0" supportSubquery="1" supportAdvancedDrill="1" xr:uid="{13CA1B6A-568B-4246-B36C-5A4CD9412A6A}">
  <cacheSource type="external" connectionId="1"/>
  <cacheFields count="2">
    <cacheField name="[Choco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5">
    <cacheHierarchy uniqueName="[Choco].[Country]" caption="Country" attribute="1" defaultMemberUniqueName="[Choco].[Country].[All]" allUniqueName="[Choco].[Country].[All]" dimensionUniqueName="[Choco]" displayFolder="" count="2" memberValueDatatype="130" unbalanced="0">
      <fieldsUsage count="2">
        <fieldUsage x="-1"/>
        <fieldUsage x="0"/>
      </fieldsUsage>
    </cacheHierarchy>
    <cacheHierarchy uniqueName="[Choco].[Product]" caption="Product" attribute="1" defaultMemberUniqueName="[Choco].[Product].[All]" allUniqueName="[Choco].[Product].[All]" dimensionUniqueName="[Choco]" displayFolder="" count="0" memberValueDatatype="130" unbalanced="0"/>
    <cacheHierarchy uniqueName="[Choco].[Sales Person]" caption="Sales Person" attribute="1" defaultMemberUniqueName="[Choco].[Sales Person].[All]" allUniqueName="[Choco].[Sales Person].[All]" dimensionUniqueName="[Choco]" displayFolder="" count="0" memberValueDatatype="130" unbalanced="0"/>
    <cacheHierarchy uniqueName="[Choco].[Date]" caption="Date" attribute="1" time="1" defaultMemberUniqueName="[Choco].[Date].[All]" allUniqueName="[Choco].[Date].[All]" dimensionUniqueName="[Choco]" displayFolder="" count="0" memberValueDatatype="7" unbalanced="0"/>
    <cacheHierarchy uniqueName="[Choco].[Amount]" caption="Amount" attribute="1" defaultMemberUniqueName="[Choco].[Amount].[All]" allUniqueName="[Choco].[Amount].[All]" dimensionUniqueName="[Choco]" displayFolder="" count="0" memberValueDatatype="5" unbalanced="0"/>
    <cacheHierarchy uniqueName="[Choco].[Boxes]" caption="Boxes" attribute="1" defaultMemberUniqueName="[Choco].[Boxes].[All]" allUniqueName="[Choco].[Boxes].[All]" dimensionUniqueName="[Choco]" displayFolder="" count="0" memberValueDatatype="20" unbalanced="0"/>
    <cacheHierarchy uniqueName="[Choco].[Category]" caption="Category" attribute="1" defaultMemberUniqueName="[Choco].[Category].[All]" allUniqueName="[Choco].[Category].[All]" dimensionUniqueName="[Choco]" displayFolder="" count="0" memberValueDatatype="130" unbalanced="0"/>
    <cacheHierarchy uniqueName="[Measures].[Sum of Amount]" caption="Sum of Amount" measure="1" displayFolder="" measureGroup="Choc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 . Amount per person]" caption="Avg . Amount per person" measure="1" displayFolder="" measureGroup="Choco" count="0"/>
    <cacheHierarchy uniqueName="[Measures].[__XL_Count Choco]" caption="__XL_Count Choco" measure="1" displayFolder="" measureGroup="Choco" count="0" hidden="1"/>
    <cacheHierarchy uniqueName="[Measures].[__No measures defined]" caption="__No measures defined" measure="1" displayFolder="" count="0" hidden="1"/>
  </cacheHierarchies>
  <kpis count="0"/>
  <dimensions count="2">
    <dimension name="Choco" uniqueName="[Choco]" caption="Choco"/>
    <dimension measure="1" name="Measures" uniqueName="[Measures]" caption="Measures"/>
  </dimensions>
  <measureGroups count="1">
    <measureGroup name="Choco" caption="Cho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uthi" refreshedDate="46224.843434259259" backgroundQuery="1" createdVersion="8" refreshedVersion="8" minRefreshableVersion="3" recordCount="0" supportSubquery="1" supportAdvancedDrill="1" xr:uid="{918C37FB-4910-4962-9FE5-0C10D72B6551}">
  <cacheSource type="external" connectionId="1"/>
  <cacheFields count="3">
    <cacheField name="[Choco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o].[Category].[Category]" caption="Category" numFmtId="0" hierarchy="6" level="1">
      <sharedItems count="3">
        <s v="Bars"/>
        <s v="Bites"/>
        <s v="Other"/>
      </sharedItems>
    </cacheField>
  </cacheFields>
  <cacheHierarchies count="15">
    <cacheHierarchy uniqueName="[Choco].[Country]" caption="Country" attribute="1" defaultMemberUniqueName="[Choco].[Country].[All]" allUniqueName="[Choco].[Country].[All]" dimensionUniqueName="[Choco]" displayFolder="" count="2" memberValueDatatype="130" unbalanced="0">
      <fieldsUsage count="2">
        <fieldUsage x="-1"/>
        <fieldUsage x="0"/>
      </fieldsUsage>
    </cacheHierarchy>
    <cacheHierarchy uniqueName="[Choco].[Product]" caption="Product" attribute="1" defaultMemberUniqueName="[Choco].[Product].[All]" allUniqueName="[Choco].[Product].[All]" dimensionUniqueName="[Choco]" displayFolder="" count="0" memberValueDatatype="130" unbalanced="0"/>
    <cacheHierarchy uniqueName="[Choco].[Sales Person]" caption="Sales Person" attribute="1" defaultMemberUniqueName="[Choco].[Sales Person].[All]" allUniqueName="[Choco].[Sales Person].[All]" dimensionUniqueName="[Choco]" displayFolder="" count="0" memberValueDatatype="130" unbalanced="0"/>
    <cacheHierarchy uniqueName="[Choco].[Date]" caption="Date" attribute="1" time="1" defaultMemberUniqueName="[Choco].[Date].[All]" allUniqueName="[Choco].[Date].[All]" dimensionUniqueName="[Choco]" displayFolder="" count="0" memberValueDatatype="7" unbalanced="0"/>
    <cacheHierarchy uniqueName="[Choco].[Amount]" caption="Amount" attribute="1" defaultMemberUniqueName="[Choco].[Amount].[All]" allUniqueName="[Choco].[Amount].[All]" dimensionUniqueName="[Choco]" displayFolder="" count="0" memberValueDatatype="5" unbalanced="0"/>
    <cacheHierarchy uniqueName="[Choco].[Boxes]" caption="Boxes" attribute="1" defaultMemberUniqueName="[Choco].[Boxes].[All]" allUniqueName="[Choco].[Boxes].[All]" dimensionUniqueName="[Choco]" displayFolder="" count="0" memberValueDatatype="20" unbalanced="0"/>
    <cacheHierarchy uniqueName="[Choco].[Category]" caption="Category" attribute="1" defaultMemberUniqueName="[Choco].[Category].[All]" allUniqueName="[Choco].[Category].[All]" dimensionUniqueName="[Choco]" displayFolder="" count="2" memberValueDatatype="130" unbalanced="0">
      <fieldsUsage count="2">
        <fieldUsage x="-1"/>
        <fieldUsage x="2"/>
      </fieldsUsage>
    </cacheHierarchy>
    <cacheHierarchy uniqueName="[Measures].[Sum of Amount]" caption="Sum of Amount" measure="1" displayFolder="" measureGroup="Choc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 . Amount per person]" caption="Avg . Amount per person" measure="1" displayFolder="" measureGroup="Choco" count="0"/>
    <cacheHierarchy uniqueName="[Measures].[__XL_Count Choco]" caption="__XL_Count Choco" measure="1" displayFolder="" measureGroup="Choco" count="0" hidden="1"/>
    <cacheHierarchy uniqueName="[Measures].[__No measures defined]" caption="__No measures defined" measure="1" displayFolder="" count="0" hidden="1"/>
  </cacheHierarchies>
  <kpis count="0"/>
  <dimensions count="2">
    <dimension name="Choco" uniqueName="[Choco]" caption="Choco"/>
    <dimension measure="1" name="Measures" uniqueName="[Measures]" caption="Measures"/>
  </dimensions>
  <measureGroups count="1">
    <measureGroup name="Choco" caption="Cho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uthi" refreshedDate="46224.882716435182" backgroundQuery="1" createdVersion="8" refreshedVersion="8" minRefreshableVersion="3" recordCount="0" supportSubquery="1" supportAdvancedDrill="1" xr:uid="{CC486F45-3C64-4DA2-96B9-0306C2123F16}">
  <cacheSource type="external" connectionId="1"/>
  <cacheFields count="5">
    <cacheField name="[Choco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o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  <cacheField name="[Measures].[Count of Product]" caption="Count of Product" numFmtId="0" hierarchy="9" level="32767"/>
  </cacheFields>
  <cacheHierarchies count="15">
    <cacheHierarchy uniqueName="[Choco].[Country]" caption="Country" attribute="1" defaultMemberUniqueName="[Choco].[Country].[All]" allUniqueName="[Choco].[Country].[All]" dimensionUniqueName="[Choco]" displayFolder="" count="2" memberValueDatatype="130" unbalanced="0">
      <fieldsUsage count="2">
        <fieldUsage x="-1"/>
        <fieldUsage x="0"/>
      </fieldsUsage>
    </cacheHierarchy>
    <cacheHierarchy uniqueName="[Choco].[Product]" caption="Product" attribute="1" defaultMemberUniqueName="[Choco].[Product].[All]" allUniqueName="[Choco].[Product].[All]" dimensionUniqueName="[Choco]" displayFolder="" count="2" memberValueDatatype="130" unbalanced="0"/>
    <cacheHierarchy uniqueName="[Choco].[Sales Person]" caption="Sales Person" attribute="1" defaultMemberUniqueName="[Choco].[Sales Person].[All]" allUniqueName="[Choco].[Sales Person].[All]" dimensionUniqueName="[Choco]" displayFolder="" count="2" memberValueDatatype="130" unbalanced="0">
      <fieldsUsage count="2">
        <fieldUsage x="-1"/>
        <fieldUsage x="2"/>
      </fieldsUsage>
    </cacheHierarchy>
    <cacheHierarchy uniqueName="[Choco].[Date]" caption="Date" attribute="1" time="1" defaultMemberUniqueName="[Choco].[Date].[All]" allUniqueName="[Choco].[Date].[All]" dimensionUniqueName="[Choco]" displayFolder="" count="0" memberValueDatatype="7" unbalanced="0"/>
    <cacheHierarchy uniqueName="[Choco].[Amount]" caption="Amount" attribute="1" defaultMemberUniqueName="[Choco].[Amount].[All]" allUniqueName="[Choco].[Amount].[All]" dimensionUniqueName="[Choco]" displayFolder="" count="0" memberValueDatatype="5" unbalanced="0"/>
    <cacheHierarchy uniqueName="[Choco].[Boxes]" caption="Boxes" attribute="1" defaultMemberUniqueName="[Choco].[Boxes].[All]" allUniqueName="[Choco].[Boxes].[All]" dimensionUniqueName="[Choco]" displayFolder="" count="0" memberValueDatatype="20" unbalanced="0"/>
    <cacheHierarchy uniqueName="[Choco].[Category]" caption="Category" attribute="1" defaultMemberUniqueName="[Choco].[Category].[All]" allUniqueName="[Choco].[Category].[All]" dimensionUniqueName="[Choco]" displayFolder="" count="2" memberValueDatatype="130" unbalanced="0"/>
    <cacheHierarchy uniqueName="[Measures].[Sum of Amount]" caption="Sum of Amount" measure="1" displayFolder="" measureGroup="Choc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 . Amount per person]" caption="Avg . Amount per person" measure="1" displayFolder="" measureGroup="Choco" count="0"/>
    <cacheHierarchy uniqueName="[Measures].[__XL_Count Choco]" caption="__XL_Count Choco" measure="1" displayFolder="" measureGroup="Choco" count="0" hidden="1"/>
    <cacheHierarchy uniqueName="[Measures].[__No measures defined]" caption="__No measures defined" measure="1" displayFolder="" count="0" hidden="1"/>
  </cacheHierarchies>
  <kpis count="0"/>
  <dimensions count="2">
    <dimension name="Choco" uniqueName="[Choco]" caption="Choco"/>
    <dimension measure="1" name="Measures" uniqueName="[Measures]" caption="Measures"/>
  </dimensions>
  <measureGroups count="1">
    <measureGroup name="Choco" caption="Cho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927CE-C9D7-43B1-910E-427AA99CF666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B36:E62" firstHeaderRow="0" firstDataRow="1" firstDataCol="1"/>
  <pivotFields count="5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/>
    <dataField name="Sum of Boxes" fld="3" baseField="0" baseItem="0"/>
    <dataField name="Count of Product" fld="4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">
        <x15:activeTabTopLevelEntity name="[Cho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5B1DB-9C11-45D9-8FA6-B4E11C3779F3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B24:C28" firstHeaderRow="1" firstDataRow="1" firstDataCol="1"/>
  <pivotFields count="3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">
        <x15:activeTabTopLevelEntity name="[Cho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5204F-B9C2-4C47-ADC6-4FD3DEC1276C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11:C18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2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Sum of Amount" fld="1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">
        <x15:activeTabTopLevelEntity name="[Cho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78C1A-BD91-46BA-99A2-76F83742E92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/>
    <dataField name="Sum of Boxes" fld="1" baseField="0" baseItem="0"/>
    <dataField name="Count of Product" fld="2" subtotal="count" baseField="0" baseItem="0"/>
    <dataField name="Distinct Count of Sales Person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">
        <x15:activeTabTopLevelEntity name="[Cho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823A84-F8C6-4CC3-8231-B498990251E1}" name="Choco" displayName="Choco" ref="C4:I1804" totalsRowShown="0" headerRowDxfId="5" headerRowBorderDxfId="4">
  <autoFilter ref="C4:I1804" xr:uid="{D6823A84-F8C6-4CC3-8231-B498990251E1}"/>
  <tableColumns count="7">
    <tableColumn id="1" xr3:uid="{2AEC67D5-E3F1-4AB6-B909-A0B62EA21059}" name="Country"/>
    <tableColumn id="2" xr3:uid="{D5C43872-59B5-4958-9547-EBC89FC28F15}" name="Product"/>
    <tableColumn id="3" xr3:uid="{CDF6DA8F-28FD-4975-B69F-C177F6D4F72D}" name="Sales Person"/>
    <tableColumn id="4" xr3:uid="{95619C15-E1DF-4508-89CB-F5321091A34D}" name="Date" dataDxfId="3"/>
    <tableColumn id="5" xr3:uid="{21544A49-39E2-4E26-9188-1074E87DBF6D}" name="Amount" dataDxfId="2"/>
    <tableColumn id="6" xr3:uid="{6B149294-A06B-4633-830F-76B4C46A0259}" name="Boxes" dataDxfId="1"/>
    <tableColumn id="7" xr3:uid="{19795332-5746-47BB-BBB4-B767D9F090A8}" name="Category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08C2B2-74BD-4A4E-957A-01D4A0E3775D}" name="Table11" displayName="Table11" ref="C27:G52" totalsRowShown="0" headerRowDxfId="12" tableBorderDxfId="11">
  <autoFilter ref="C27:G52" xr:uid="{4808C2B2-74BD-4A4E-957A-01D4A0E3775D}"/>
  <tableColumns count="5">
    <tableColumn id="1" xr3:uid="{5A843CF6-DA38-4BD8-8F0A-EF885895A4A4}" name="Sales Person" dataDxfId="10"/>
    <tableColumn id="2" xr3:uid="{B512F4D4-7521-4C06-B0D6-925571FC2E83}" name="Sales" dataDxfId="9"/>
    <tableColumn id="3" xr3:uid="{2FF47922-6E44-4FFB-9382-67B3852D9E75}" name="Boxes" dataDxfId="8"/>
    <tableColumn id="4" xr3:uid="{760B7811-AB0C-4788-938E-3D17D994AFB1}" name="Shipments" dataDxfId="7"/>
    <tableColumn id="5" xr3:uid="{1A31558D-9850-46E2-A305-5ECFBFEFB337}" name="Column1" dataDxfId="6">
      <calculatedColumnFormula>IF(_xlfn.RANK.AVG(E28,$E$28:$E$52,0)&lt;=10,1,0)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 Black-Arial">
      <a:majorFont>
        <a:latin typeface="Arial Black" panose="020B0A0402010202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opLeftCell="A2" workbookViewId="0">
      <selection activeCell="D22" sqref="D22"/>
    </sheetView>
  </sheetViews>
  <sheetFormatPr defaultColWidth="8" defaultRowHeight="13.8" x14ac:dyDescent="0.25"/>
  <cols>
    <col min="1" max="1" width="1.59765625" customWidth="1"/>
    <col min="2" max="2" width="3.59765625" customWidth="1"/>
    <col min="3" max="3" width="13.5" customWidth="1"/>
    <col min="4" max="4" width="21.796875" customWidth="1"/>
    <col min="5" max="5" width="25" customWidth="1"/>
    <col min="6" max="6" width="10" customWidth="1"/>
    <col min="7" max="7" width="10.296875" customWidth="1"/>
    <col min="8" max="8" width="7.69921875" customWidth="1"/>
    <col min="9" max="9" width="10.3984375" customWidth="1"/>
    <col min="10" max="10" width="8.796875" customWidth="1"/>
  </cols>
  <sheetData>
    <row r="1" spans="1:9" s="1" customFormat="1" ht="52.5" customHeight="1" x14ac:dyDescent="0.25">
      <c r="A1" s="3"/>
      <c r="C1" s="2" t="s">
        <v>63</v>
      </c>
    </row>
    <row r="4" spans="1:9" x14ac:dyDescent="0.25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25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25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25">
      <c r="C7" t="s">
        <v>5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25">
      <c r="C8" t="s">
        <v>7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25">
      <c r="C9" t="s">
        <v>10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25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25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25">
      <c r="C12" t="s">
        <v>10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25">
      <c r="C13" t="s">
        <v>16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25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25">
      <c r="C15" t="s">
        <v>10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25">
      <c r="C16" t="s">
        <v>16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25">
      <c r="C17" t="s">
        <v>16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25">
      <c r="C18" t="s">
        <v>7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25">
      <c r="C19" t="s">
        <v>23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25">
      <c r="C20" t="s">
        <v>16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25">
      <c r="C21" t="s">
        <v>5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25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25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25">
      <c r="C24" t="s">
        <v>7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25">
      <c r="C25" t="s">
        <v>5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25">
      <c r="C26" t="s">
        <v>10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25">
      <c r="C27" t="s">
        <v>16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25">
      <c r="C28" t="s">
        <v>7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25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25">
      <c r="C30" t="s">
        <v>10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25">
      <c r="C31" t="s">
        <v>16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25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25">
      <c r="C33" t="s">
        <v>23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25">
      <c r="C34" t="s">
        <v>5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25">
      <c r="C35" t="s">
        <v>16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25">
      <c r="C36" t="s">
        <v>7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25">
      <c r="C37" t="s">
        <v>10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25">
      <c r="C38" t="s">
        <v>5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25">
      <c r="C39" t="s">
        <v>5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25">
      <c r="C40" t="s">
        <v>5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25">
      <c r="C41" t="s">
        <v>16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25">
      <c r="C42" t="s">
        <v>23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25">
      <c r="C43" t="s">
        <v>23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25">
      <c r="C44" t="s">
        <v>16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25">
      <c r="C45" t="s">
        <v>5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25">
      <c r="C46" t="s">
        <v>7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25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25">
      <c r="C48" t="s">
        <v>16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25">
      <c r="C49" t="s">
        <v>16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25">
      <c r="C50" t="s">
        <v>7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25">
      <c r="C51" t="s">
        <v>10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25">
      <c r="C52" t="s">
        <v>5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25">
      <c r="C53" t="s">
        <v>16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25">
      <c r="C54" t="s">
        <v>16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25">
      <c r="C55" t="s">
        <v>10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25">
      <c r="C56" t="s">
        <v>16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25">
      <c r="C57" t="s">
        <v>16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25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25">
      <c r="C59" t="s">
        <v>7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25">
      <c r="C60" t="s">
        <v>5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25">
      <c r="C61" t="s">
        <v>23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25">
      <c r="C62" t="s">
        <v>10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25">
      <c r="C63" t="s">
        <v>7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25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25">
      <c r="C65" t="s">
        <v>5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25">
      <c r="C66" t="s">
        <v>23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25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25">
      <c r="C68" t="s">
        <v>7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25">
      <c r="C69" t="s">
        <v>7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25">
      <c r="C70" t="s">
        <v>10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25">
      <c r="C71" t="s">
        <v>5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25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25">
      <c r="C73" t="s">
        <v>5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25">
      <c r="C74" t="s">
        <v>7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25">
      <c r="C75" t="s">
        <v>10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25">
      <c r="C76" t="s">
        <v>7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25">
      <c r="C77" t="s">
        <v>7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25">
      <c r="C78" t="s">
        <v>7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25">
      <c r="C79" t="s">
        <v>5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25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25">
      <c r="C81" t="s">
        <v>7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25">
      <c r="C82" t="s">
        <v>23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25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25">
      <c r="C84" t="s">
        <v>10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25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25">
      <c r="C86" t="s">
        <v>23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25">
      <c r="C87" t="s">
        <v>7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25">
      <c r="C88" t="s">
        <v>10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25">
      <c r="C89" t="s">
        <v>23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25">
      <c r="C90" t="s">
        <v>5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25">
      <c r="C91" t="s">
        <v>16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25">
      <c r="C92" t="s">
        <v>10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25">
      <c r="C93" t="s">
        <v>10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25">
      <c r="C94" t="s">
        <v>16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25">
      <c r="C95" t="s">
        <v>23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25">
      <c r="C96" t="s">
        <v>5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25">
      <c r="C97" t="s">
        <v>10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25">
      <c r="C98" t="s">
        <v>5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25">
      <c r="C99" t="s">
        <v>10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25">
      <c r="C100" t="s">
        <v>10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25">
      <c r="C101" t="s">
        <v>16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25">
      <c r="C102" t="s">
        <v>23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25">
      <c r="C103" t="s">
        <v>16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25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25">
      <c r="C105" t="s">
        <v>5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25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25">
      <c r="C107" t="s">
        <v>10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25">
      <c r="C108" t="s">
        <v>10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25">
      <c r="C109" t="s">
        <v>10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25">
      <c r="C110" t="s">
        <v>5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25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25">
      <c r="C112" t="s">
        <v>5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25">
      <c r="C113" t="s">
        <v>5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25">
      <c r="C114" t="s">
        <v>16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25">
      <c r="C115" t="s">
        <v>16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25">
      <c r="C116" t="s">
        <v>7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25">
      <c r="C117" t="s">
        <v>7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25">
      <c r="C118" t="s">
        <v>10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25">
      <c r="C119" t="s">
        <v>23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25">
      <c r="C120" t="s">
        <v>7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25">
      <c r="C121" t="s">
        <v>10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25">
      <c r="C122" t="s">
        <v>5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25">
      <c r="C123" t="s">
        <v>5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25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25">
      <c r="C125" t="s">
        <v>10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25">
      <c r="C126" t="s">
        <v>16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25">
      <c r="C127" t="s">
        <v>7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25">
      <c r="C128" t="s">
        <v>7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25">
      <c r="C129" t="s">
        <v>23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25">
      <c r="C130" t="s">
        <v>5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25">
      <c r="C131" t="s">
        <v>5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25">
      <c r="C132" t="s">
        <v>7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25">
      <c r="C133" t="s">
        <v>7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25">
      <c r="C134" t="s">
        <v>10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25">
      <c r="C135" t="s">
        <v>16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25">
      <c r="C136" t="s">
        <v>7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25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25">
      <c r="C138" t="s">
        <v>23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25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25">
      <c r="C140" t="s">
        <v>23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25">
      <c r="C141" t="s">
        <v>7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25">
      <c r="C142" t="s">
        <v>16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25">
      <c r="C143" t="s">
        <v>10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25">
      <c r="C144" t="s">
        <v>23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25">
      <c r="C145" t="s">
        <v>7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25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25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25">
      <c r="C148" t="s">
        <v>23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25">
      <c r="C149" t="s">
        <v>7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25">
      <c r="C150" t="s">
        <v>23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25">
      <c r="C151" t="s">
        <v>5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25">
      <c r="C152" t="s">
        <v>5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25">
      <c r="C153" t="s">
        <v>5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25">
      <c r="C154" t="s">
        <v>10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25">
      <c r="C155" t="s">
        <v>5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25">
      <c r="C156" t="s">
        <v>5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25">
      <c r="C157" t="s">
        <v>16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25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25">
      <c r="C159" t="s">
        <v>16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25">
      <c r="C160" t="s">
        <v>10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25">
      <c r="C161" t="s">
        <v>5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25">
      <c r="C162" t="s">
        <v>23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25">
      <c r="C163" t="s">
        <v>10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25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25">
      <c r="C165" t="s">
        <v>10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25">
      <c r="C166" t="s">
        <v>7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25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25">
      <c r="C168" t="s">
        <v>5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25">
      <c r="C169" t="s">
        <v>7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25">
      <c r="C170" t="s">
        <v>23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25">
      <c r="C171" t="s">
        <v>10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25">
      <c r="C172" t="s">
        <v>10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25">
      <c r="C173" t="s">
        <v>5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25">
      <c r="C174" t="s">
        <v>7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25">
      <c r="C175" t="s">
        <v>5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25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25">
      <c r="C177" t="s">
        <v>5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25">
      <c r="C178" t="s">
        <v>16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25">
      <c r="C179" t="s">
        <v>7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25">
      <c r="C180" t="s">
        <v>10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25">
      <c r="C181" t="s">
        <v>10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25">
      <c r="C182" t="s">
        <v>16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25">
      <c r="C183" t="s">
        <v>5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25">
      <c r="C184" t="s">
        <v>16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25">
      <c r="C185" t="s">
        <v>5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25">
      <c r="C186" t="s">
        <v>10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25">
      <c r="C187" t="s">
        <v>23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25">
      <c r="C188" t="s">
        <v>16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25">
      <c r="C189" t="s">
        <v>10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25">
      <c r="C190" t="s">
        <v>10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25">
      <c r="C191" t="s">
        <v>5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25">
      <c r="C192" t="s">
        <v>10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25">
      <c r="C193" t="s">
        <v>7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25">
      <c r="C194" t="s">
        <v>10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25">
      <c r="C195" t="s">
        <v>10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25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25">
      <c r="C197" t="s">
        <v>5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25">
      <c r="C198" t="s">
        <v>10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25">
      <c r="C199" t="s">
        <v>16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25">
      <c r="C200" t="s">
        <v>7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25">
      <c r="C201" t="s">
        <v>23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25">
      <c r="C202" t="s">
        <v>23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25">
      <c r="C203" t="s">
        <v>10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25">
      <c r="C204" t="s">
        <v>5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25">
      <c r="C205" t="s">
        <v>16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25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25">
      <c r="C207" t="s">
        <v>10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25">
      <c r="C208" t="s">
        <v>23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25">
      <c r="C209" t="s">
        <v>7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25">
      <c r="C210" t="s">
        <v>16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25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25">
      <c r="C212" t="s">
        <v>7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25">
      <c r="C213" t="s">
        <v>10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25">
      <c r="C214" t="s">
        <v>16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25">
      <c r="C215" t="s">
        <v>5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25">
      <c r="C216" t="s">
        <v>10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25">
      <c r="C217" t="s">
        <v>7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25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25">
      <c r="C219" t="s">
        <v>10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25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25">
      <c r="C221" t="s">
        <v>23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25">
      <c r="C222" t="s">
        <v>7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25">
      <c r="C223" t="s">
        <v>7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25">
      <c r="C224" t="s">
        <v>10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25">
      <c r="C225" t="s">
        <v>10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25">
      <c r="C226" t="s">
        <v>16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25">
      <c r="C227" t="s">
        <v>5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25">
      <c r="C228" t="s">
        <v>23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25">
      <c r="C229" t="s">
        <v>7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25">
      <c r="C230" t="s">
        <v>16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25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25">
      <c r="C232" t="s">
        <v>23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25">
      <c r="C233" t="s">
        <v>5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25">
      <c r="C234" t="s">
        <v>5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25">
      <c r="C235" t="s">
        <v>7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25">
      <c r="C236" t="s">
        <v>5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25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25">
      <c r="C238" t="s">
        <v>5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25">
      <c r="C239" t="s">
        <v>7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25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25">
      <c r="C241" t="s">
        <v>7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25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25">
      <c r="C243" t="s">
        <v>10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25">
      <c r="C244" t="s">
        <v>10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25">
      <c r="C245" t="s">
        <v>23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25">
      <c r="C246" t="s">
        <v>5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25">
      <c r="C247" t="s">
        <v>5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25">
      <c r="C248" t="s">
        <v>7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25">
      <c r="C249" t="s">
        <v>5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25">
      <c r="C250" t="s">
        <v>7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25">
      <c r="C251" t="s">
        <v>10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25">
      <c r="C252" t="s">
        <v>16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25">
      <c r="C253" t="s">
        <v>16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25">
      <c r="C254" t="s">
        <v>5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25">
      <c r="C255" t="s">
        <v>23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25">
      <c r="C256" t="s">
        <v>16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25">
      <c r="C257" t="s">
        <v>16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25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25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25">
      <c r="C260" t="s">
        <v>7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25">
      <c r="C261" t="s">
        <v>23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25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25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25">
      <c r="C264" t="s">
        <v>23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25">
      <c r="C265" t="s">
        <v>7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25">
      <c r="C266" t="s">
        <v>7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25">
      <c r="C267" t="s">
        <v>5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25">
      <c r="C268" t="s">
        <v>5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25">
      <c r="C269" t="s">
        <v>7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25">
      <c r="C270" t="s">
        <v>7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25">
      <c r="C271" t="s">
        <v>5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25">
      <c r="C272" t="s">
        <v>7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25">
      <c r="C273" t="s">
        <v>10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25">
      <c r="C274" t="s">
        <v>23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25">
      <c r="C275" t="s">
        <v>10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25">
      <c r="C276" t="s">
        <v>16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25">
      <c r="C277" t="s">
        <v>5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25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25">
      <c r="C279" t="s">
        <v>7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25">
      <c r="C280" t="s">
        <v>16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25">
      <c r="C281" t="s">
        <v>10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25">
      <c r="C282" t="s">
        <v>10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25">
      <c r="C283" t="s">
        <v>10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25">
      <c r="C284" t="s">
        <v>5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25">
      <c r="C285" t="s">
        <v>16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25">
      <c r="C286" t="s">
        <v>16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25">
      <c r="C287" t="s">
        <v>5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25">
      <c r="C288" t="s">
        <v>5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25">
      <c r="C289" t="s">
        <v>16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25">
      <c r="C290" t="s">
        <v>16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25">
      <c r="C291" t="s">
        <v>10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25">
      <c r="C292" t="s">
        <v>5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25">
      <c r="C293" t="s">
        <v>5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25">
      <c r="C294" t="s">
        <v>16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25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25">
      <c r="C296" t="s">
        <v>7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25">
      <c r="C297" t="s">
        <v>23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25">
      <c r="C298" t="s">
        <v>16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25">
      <c r="C299" t="s">
        <v>10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25">
      <c r="C300" t="s">
        <v>5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25">
      <c r="C301" t="s">
        <v>7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25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25">
      <c r="C303" t="s">
        <v>10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25">
      <c r="C304" t="s">
        <v>7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25">
      <c r="C305" t="s">
        <v>23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25">
      <c r="C306" t="s">
        <v>5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25">
      <c r="C307" t="s">
        <v>5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25">
      <c r="C308" t="s">
        <v>10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25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25">
      <c r="C310" t="s">
        <v>16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25">
      <c r="C311" t="s">
        <v>10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25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25">
      <c r="C313" t="s">
        <v>7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25">
      <c r="C314" t="s">
        <v>16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25">
      <c r="C315" t="s">
        <v>5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25">
      <c r="C316" t="s">
        <v>7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25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25">
      <c r="C318" t="s">
        <v>5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25">
      <c r="C319" t="s">
        <v>7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25">
      <c r="C320" t="s">
        <v>23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25">
      <c r="C321" t="s">
        <v>23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25">
      <c r="C322" t="s">
        <v>23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25">
      <c r="C323" t="s">
        <v>10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25">
      <c r="C324" t="s">
        <v>7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25">
      <c r="C325" t="s">
        <v>23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25">
      <c r="C326" t="s">
        <v>5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25">
      <c r="C327" t="s">
        <v>7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25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25">
      <c r="C329" t="s">
        <v>5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25">
      <c r="C330" t="s">
        <v>10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25">
      <c r="C331" t="s">
        <v>5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25">
      <c r="C332" t="s">
        <v>16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25">
      <c r="C333" t="s">
        <v>16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25">
      <c r="C334" t="s">
        <v>23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25">
      <c r="C335" t="s">
        <v>10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25">
      <c r="C336" t="s">
        <v>10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25">
      <c r="C337" t="s">
        <v>23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25">
      <c r="C338" t="s">
        <v>10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25">
      <c r="C339" t="s">
        <v>7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25">
      <c r="C340" t="s">
        <v>5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25">
      <c r="C341" t="s">
        <v>5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25">
      <c r="C342" t="s">
        <v>5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25">
      <c r="C343" t="s">
        <v>7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25">
      <c r="C344" t="s">
        <v>7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25">
      <c r="C345" t="s">
        <v>23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25">
      <c r="C346" t="s">
        <v>16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25">
      <c r="C347" t="s">
        <v>5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25">
      <c r="C348" t="s">
        <v>10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25">
      <c r="C349" t="s">
        <v>7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25">
      <c r="C350" t="s">
        <v>5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25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25">
      <c r="C352" t="s">
        <v>10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25">
      <c r="C353" t="s">
        <v>5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25">
      <c r="C354" t="s">
        <v>7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25">
      <c r="C355" t="s">
        <v>23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25">
      <c r="C356" t="s">
        <v>5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25">
      <c r="C357" t="s">
        <v>10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25">
      <c r="C358" t="s">
        <v>16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25">
      <c r="C359" t="s">
        <v>23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25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25">
      <c r="C361" t="s">
        <v>7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25">
      <c r="C362" t="s">
        <v>23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25">
      <c r="C363" t="s">
        <v>10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25">
      <c r="C364" t="s">
        <v>10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25">
      <c r="C365" t="s">
        <v>7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25">
      <c r="C366" t="s">
        <v>5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25">
      <c r="C367" t="s">
        <v>5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25">
      <c r="C368" t="s">
        <v>5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25">
      <c r="C369" t="s">
        <v>7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25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25">
      <c r="C371" t="s">
        <v>7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25">
      <c r="C372" t="s">
        <v>16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25">
      <c r="C373" t="s">
        <v>16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25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25">
      <c r="C375" t="s">
        <v>10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25">
      <c r="C376" t="s">
        <v>10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25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25">
      <c r="C378" t="s">
        <v>16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25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25">
      <c r="C380" t="s">
        <v>23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25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25">
      <c r="C382" t="s">
        <v>23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25">
      <c r="C383" t="s">
        <v>16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25">
      <c r="C384" t="s">
        <v>7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25">
      <c r="C385" t="s">
        <v>16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25">
      <c r="C386" t="s">
        <v>23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25">
      <c r="C387" t="s">
        <v>7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25">
      <c r="C388" t="s">
        <v>5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25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25">
      <c r="C390" t="s">
        <v>16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25">
      <c r="C391" t="s">
        <v>23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25">
      <c r="C392" t="s">
        <v>23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25">
      <c r="C393" t="s">
        <v>5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25">
      <c r="C394" t="s">
        <v>5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25">
      <c r="C395" t="s">
        <v>16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25">
      <c r="C396" t="s">
        <v>16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25">
      <c r="C397" t="s">
        <v>7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25">
      <c r="C398" t="s">
        <v>10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25">
      <c r="C399" t="s">
        <v>10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25">
      <c r="C400" t="s">
        <v>10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25">
      <c r="C401" t="s">
        <v>16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25">
      <c r="C402" t="s">
        <v>7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25">
      <c r="C403" t="s">
        <v>16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25">
      <c r="C404" t="s">
        <v>5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25">
      <c r="C405" t="s">
        <v>16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25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25">
      <c r="C407" t="s">
        <v>23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25">
      <c r="C408" t="s">
        <v>23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25">
      <c r="C409" t="s">
        <v>10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25">
      <c r="C410" t="s">
        <v>16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25">
      <c r="C411" t="s">
        <v>7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25">
      <c r="C412" t="s">
        <v>5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25">
      <c r="C413" t="s">
        <v>7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25">
      <c r="C414" t="s">
        <v>10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25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25">
      <c r="C416" t="s">
        <v>16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25">
      <c r="C417" t="s">
        <v>7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25">
      <c r="C418" t="s">
        <v>10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25">
      <c r="C419" t="s">
        <v>16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25">
      <c r="C420" t="s">
        <v>16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25">
      <c r="C421" t="s">
        <v>5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25">
      <c r="C422" t="s">
        <v>10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25">
      <c r="C423" t="s">
        <v>23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25">
      <c r="C424" t="s">
        <v>7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25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25">
      <c r="C426" t="s">
        <v>5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25">
      <c r="C427" t="s">
        <v>5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25">
      <c r="C428" t="s">
        <v>16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25">
      <c r="C429" t="s">
        <v>5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25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25">
      <c r="C431" t="s">
        <v>16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25">
      <c r="C432" t="s">
        <v>16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25">
      <c r="C433" t="s">
        <v>23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25">
      <c r="C434" t="s">
        <v>23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25">
      <c r="C435" t="s">
        <v>23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25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25">
      <c r="C437" t="s">
        <v>10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25">
      <c r="C438" t="s">
        <v>10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25">
      <c r="C439" t="s">
        <v>23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25">
      <c r="C440" t="s">
        <v>10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25">
      <c r="C441" t="s">
        <v>23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25">
      <c r="C442" t="s">
        <v>7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25">
      <c r="C443" t="s">
        <v>5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25">
      <c r="C444" t="s">
        <v>5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25">
      <c r="C445" t="s">
        <v>7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25">
      <c r="C446" t="s">
        <v>5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25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25">
      <c r="C448" t="s">
        <v>7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25">
      <c r="C449" t="s">
        <v>7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25">
      <c r="C450" t="s">
        <v>16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25">
      <c r="C451" t="s">
        <v>23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25">
      <c r="C452" t="s">
        <v>23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25">
      <c r="C453" t="s">
        <v>23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25">
      <c r="C454" t="s">
        <v>5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25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25">
      <c r="C456" t="s">
        <v>7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25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25">
      <c r="C458" t="s">
        <v>10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25">
      <c r="C459" t="s">
        <v>5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25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25">
      <c r="C461" t="s">
        <v>10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25">
      <c r="C462" t="s">
        <v>5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25">
      <c r="C463" t="s">
        <v>7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25">
      <c r="C464" t="s">
        <v>5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25">
      <c r="C465" t="s">
        <v>5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25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25">
      <c r="C467" t="s">
        <v>23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25">
      <c r="C468" t="s">
        <v>5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25">
      <c r="C469" t="s">
        <v>16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25">
      <c r="C470" t="s">
        <v>5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25">
      <c r="C471" t="s">
        <v>7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25">
      <c r="C472" t="s">
        <v>7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25">
      <c r="C473" t="s">
        <v>10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25">
      <c r="C474" t="s">
        <v>16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25">
      <c r="C475" t="s">
        <v>23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25">
      <c r="C476" t="s">
        <v>5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25">
      <c r="C477" t="s">
        <v>16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25">
      <c r="C478" t="s">
        <v>7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25">
      <c r="C479" t="s">
        <v>10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25">
      <c r="C480" t="s">
        <v>16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25">
      <c r="C481" t="s">
        <v>5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25">
      <c r="C482" t="s">
        <v>7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25">
      <c r="C483" t="s">
        <v>10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25">
      <c r="C484" t="s">
        <v>16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25">
      <c r="C485" t="s">
        <v>23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25">
      <c r="C486" t="s">
        <v>10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25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25">
      <c r="C488" t="s">
        <v>16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25">
      <c r="C489" t="s">
        <v>16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25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25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25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25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25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25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25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25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25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25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25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25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25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25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25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25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25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25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25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25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25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25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25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25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25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25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25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25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25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25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25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25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25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25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25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25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25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25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25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25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25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25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25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25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25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25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25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25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25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25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25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25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25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25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25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25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25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25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25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25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25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25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25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25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25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25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25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25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25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25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25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25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25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25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25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25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25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25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25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25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25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25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25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25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25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25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25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25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25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25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25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25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25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25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25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25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25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25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25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25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25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25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25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25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25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25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25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25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25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25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25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25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25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25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25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25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25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25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25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25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25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25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25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25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25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25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25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25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25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25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25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25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25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25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25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25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25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25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25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25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25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25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25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25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25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25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25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25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25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25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25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25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25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25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25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25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25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25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25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25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25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25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25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25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25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25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25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25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25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25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25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25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25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25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25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25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25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25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25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25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25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25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25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25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25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25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25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25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25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25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25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25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25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25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25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25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25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25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25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25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25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25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25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25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25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25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25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25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25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25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25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25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25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25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25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25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25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25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25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25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25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25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25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25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25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25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25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25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25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25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25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25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25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25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25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25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25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25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25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25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25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25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25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25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25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25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25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25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25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25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25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25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25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25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25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25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25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25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25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25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25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25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25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25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25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25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25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25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25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25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25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25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25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25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25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25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25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25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25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25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25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25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25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25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25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25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25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25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25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25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25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25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25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25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25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25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25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25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25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25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25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25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25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25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25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25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25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25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25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25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25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25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25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25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25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25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25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25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25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25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25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25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25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25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25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25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25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25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25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25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25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25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25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25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25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25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25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25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25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25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25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25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25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25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25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25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25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25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25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25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25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25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25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25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25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25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25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25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25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25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25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25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25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25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25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25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25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25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25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25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25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25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25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25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25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25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25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25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25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25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25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25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25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25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25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25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25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25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25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25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25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25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25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25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25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25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25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25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25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25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25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25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25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25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25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25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25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25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25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25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25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25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25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25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25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25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25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25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25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25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25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25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25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25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25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25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25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25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25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25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25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25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25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25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25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25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25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25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25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25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25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25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25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25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25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25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25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25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25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25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25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25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25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25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25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25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25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25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25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25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25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25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25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25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25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25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25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25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25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25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25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25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25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25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25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25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25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25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25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25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25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25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25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25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25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25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25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25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25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25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25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25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25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25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25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25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25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25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25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25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25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25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25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25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25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25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25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25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25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25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25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25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25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25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25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25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25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25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25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25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25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25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25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25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25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25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25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25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25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25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25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25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25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25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25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25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25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25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25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25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25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25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25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25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25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25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25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25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25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25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25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25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25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25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25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25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25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25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25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25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25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25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25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25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25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25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25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25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25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25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25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25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25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25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25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25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25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25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25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25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25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25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25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25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25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25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25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25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25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25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25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25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25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25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25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25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25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25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25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25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25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25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25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25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25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25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25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25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25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25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25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25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25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25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25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25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25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25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25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25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25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25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25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25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25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25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25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25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25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25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25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25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25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25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25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25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25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25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25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25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25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25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25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25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25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25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25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25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25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25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25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25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25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25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25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25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25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25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25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25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25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25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25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25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25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25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25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25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25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25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25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25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25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25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25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25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25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25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25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25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25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25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25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25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25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25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25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25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25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25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25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25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25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25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25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25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25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25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25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25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25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25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25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25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25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25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25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25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25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25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25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25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25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25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25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25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25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25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25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25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25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25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25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25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25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25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25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25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25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25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25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25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25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25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25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25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25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25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25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25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25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25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25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25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25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25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25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25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25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25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25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25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25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25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25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25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25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25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25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25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25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25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25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25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25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25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25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25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25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25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25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25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25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25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25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25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25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25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25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25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25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25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25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25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25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25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25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25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25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25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25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25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25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25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25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25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25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25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25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25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25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25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25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25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25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25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25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25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25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25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25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25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25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25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25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25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25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25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25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25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25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25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25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25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25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25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25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25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25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25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25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25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25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25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25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25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25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25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25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25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25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25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25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25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25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25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25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25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25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25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25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25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25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25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25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25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25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25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25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25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25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25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25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25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25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25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25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25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25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25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25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25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25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25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25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25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25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25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25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25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25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25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25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25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25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25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25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25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25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25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25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25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25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25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25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25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25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25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25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25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25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25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25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25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25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25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25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25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25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25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25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25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25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25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25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25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25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25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25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25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25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25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25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25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25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25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25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25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25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25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25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25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25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25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25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25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25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25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25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25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25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25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25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25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25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25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25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25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25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25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25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25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25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25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25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25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25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25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25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25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25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25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25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25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25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25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25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25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25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25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25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25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25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25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25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25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25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25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25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25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25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25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25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25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25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25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25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25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25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25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25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25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25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25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25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25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25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25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25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25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25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25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25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25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25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25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25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25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25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25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25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25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25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25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25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25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25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25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25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25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25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25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25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25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25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25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25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25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25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25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25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25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25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25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25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25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25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25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25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25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25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25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25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25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25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25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25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25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25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25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25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25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25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25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25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25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25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25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25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25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25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25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25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25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25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25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25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25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25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25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25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25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25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25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25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25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25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25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25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25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25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25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25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25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25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25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25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25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25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25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25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25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25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25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25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25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25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25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25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25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25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25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25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25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25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25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25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25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25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25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25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25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25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25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25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25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25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25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25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25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25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25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25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25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25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25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25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25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25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25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25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25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25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25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25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25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25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25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25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25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25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25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25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25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25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25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25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25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25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25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25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25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25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25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25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25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25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25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25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25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25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25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25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25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25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25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25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25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25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25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25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25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25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25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25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25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25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25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25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25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25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25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25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25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25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25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25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25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25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25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25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25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25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25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25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25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25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25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25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25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25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25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25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25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25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25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25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25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25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25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25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25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25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25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25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25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25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25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25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25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25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25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25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25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25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25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25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25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25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25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25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25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25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25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25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25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25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25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25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25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25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25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25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25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25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25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25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25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25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25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25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25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25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25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25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25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25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25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25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25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25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25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25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25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25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25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25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25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25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25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25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25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25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25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25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25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25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25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25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25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25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25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25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25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25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25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25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25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25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25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25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25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25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25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25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25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25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25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25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25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25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25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25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25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25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25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25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25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25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25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25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25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25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25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25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208D-FD67-409B-AE81-88DAE90F3D88}">
  <dimension ref="C1:I52"/>
  <sheetViews>
    <sheetView tabSelected="1" workbookViewId="0">
      <selection activeCell="G1" sqref="G1"/>
    </sheetView>
  </sheetViews>
  <sheetFormatPr defaultRowHeight="17.399999999999999" x14ac:dyDescent="0.3"/>
  <cols>
    <col min="1" max="2" width="3.59765625" customWidth="1"/>
    <col min="3" max="3" width="22.19921875" customWidth="1"/>
    <col min="4" max="4" width="14.796875" customWidth="1"/>
    <col min="5" max="5" width="29.59765625" customWidth="1"/>
    <col min="6" max="6" width="11.69921875" customWidth="1"/>
    <col min="7" max="7" width="22.09765625" style="25" customWidth="1"/>
    <col min="8" max="8" width="3.09765625" customWidth="1"/>
    <col min="9" max="9" width="27.59765625" customWidth="1"/>
  </cols>
  <sheetData>
    <row r="1" spans="3:9" ht="48.6" customHeight="1" x14ac:dyDescent="0.5">
      <c r="C1" s="34" t="s">
        <v>78</v>
      </c>
      <c r="D1" s="12"/>
      <c r="E1" s="12"/>
      <c r="F1" s="12"/>
      <c r="G1" s="32"/>
    </row>
    <row r="2" spans="3:9" x14ac:dyDescent="0.3">
      <c r="G2" s="33"/>
    </row>
    <row r="5" spans="3:9" ht="32.4" customHeight="1" x14ac:dyDescent="0.5">
      <c r="C5" s="26" t="s">
        <v>70</v>
      </c>
      <c r="D5" s="10"/>
      <c r="E5" s="26" t="s">
        <v>71</v>
      </c>
      <c r="F5" s="10"/>
      <c r="G5" s="26" t="s">
        <v>73</v>
      </c>
      <c r="H5" s="10"/>
      <c r="I5" s="26" t="s">
        <v>72</v>
      </c>
    </row>
    <row r="6" spans="3:9" ht="29.4" customHeight="1" x14ac:dyDescent="0.45">
      <c r="C6" s="29">
        <v>750177492.04999995</v>
      </c>
      <c r="D6" s="10"/>
      <c r="E6" s="30">
        <v>669020</v>
      </c>
      <c r="F6" s="10"/>
      <c r="G6" s="30">
        <v>1800</v>
      </c>
      <c r="H6" s="10"/>
      <c r="I6" s="31">
        <v>30007099.681999996</v>
      </c>
    </row>
    <row r="27" spans="3:8" x14ac:dyDescent="0.3">
      <c r="C27" s="17" t="s">
        <v>55</v>
      </c>
      <c r="D27" s="16" t="s">
        <v>76</v>
      </c>
      <c r="E27" s="17" t="s">
        <v>58</v>
      </c>
      <c r="F27" s="18" t="s">
        <v>77</v>
      </c>
      <c r="G27" s="27" t="s">
        <v>64</v>
      </c>
      <c r="H27" s="19"/>
    </row>
    <row r="28" spans="3:8" x14ac:dyDescent="0.3">
      <c r="C28" s="20" t="s">
        <v>42</v>
      </c>
      <c r="D28" s="15">
        <v>33361933.710000001</v>
      </c>
      <c r="E28" s="13">
        <v>30608</v>
      </c>
      <c r="F28" s="14">
        <v>77</v>
      </c>
      <c r="G28" s="28">
        <f t="shared" ref="G28:G52" si="0">IF(_xlfn.RANK.AVG(E28,$E$28:$E$52,0)&lt;=10,1,0)</f>
        <v>1</v>
      </c>
    </row>
    <row r="29" spans="3:8" x14ac:dyDescent="0.3">
      <c r="C29" s="20" t="s">
        <v>4</v>
      </c>
      <c r="D29" s="15">
        <v>34520948.560000002</v>
      </c>
      <c r="E29" s="13">
        <v>33282</v>
      </c>
      <c r="F29" s="14">
        <v>76</v>
      </c>
      <c r="G29" s="28">
        <f t="shared" si="0"/>
        <v>1</v>
      </c>
    </row>
    <row r="30" spans="3:8" x14ac:dyDescent="0.3">
      <c r="C30" s="20" t="s">
        <v>45</v>
      </c>
      <c r="D30" s="15">
        <v>37033915.729999997</v>
      </c>
      <c r="E30" s="13">
        <v>30805</v>
      </c>
      <c r="F30" s="14">
        <v>81</v>
      </c>
      <c r="G30" s="28">
        <f t="shared" si="0"/>
        <v>1</v>
      </c>
    </row>
    <row r="31" spans="3:8" x14ac:dyDescent="0.3">
      <c r="C31" s="20" t="s">
        <v>20</v>
      </c>
      <c r="D31" s="15">
        <v>26761926.66</v>
      </c>
      <c r="E31" s="13">
        <v>24550</v>
      </c>
      <c r="F31" s="14">
        <v>71</v>
      </c>
      <c r="G31" s="28">
        <f t="shared" si="0"/>
        <v>0</v>
      </c>
    </row>
    <row r="32" spans="3:8" x14ac:dyDescent="0.3">
      <c r="C32" s="20" t="s">
        <v>34</v>
      </c>
      <c r="D32" s="15">
        <v>27533038.050000001</v>
      </c>
      <c r="E32" s="13">
        <v>23645</v>
      </c>
      <c r="F32" s="14">
        <v>70</v>
      </c>
      <c r="G32" s="28">
        <f t="shared" si="0"/>
        <v>0</v>
      </c>
    </row>
    <row r="33" spans="3:7" x14ac:dyDescent="0.3">
      <c r="C33" s="20" t="s">
        <v>37</v>
      </c>
      <c r="D33" s="15">
        <v>34079381.979999997</v>
      </c>
      <c r="E33" s="13">
        <v>30966</v>
      </c>
      <c r="F33" s="14">
        <v>80</v>
      </c>
      <c r="G33" s="28">
        <f t="shared" si="0"/>
        <v>1</v>
      </c>
    </row>
    <row r="34" spans="3:7" x14ac:dyDescent="0.3">
      <c r="C34" s="20" t="s">
        <v>40</v>
      </c>
      <c r="D34" s="15">
        <v>28619175.760000002</v>
      </c>
      <c r="E34" s="13">
        <v>25820</v>
      </c>
      <c r="F34" s="14">
        <v>65</v>
      </c>
      <c r="G34" s="28">
        <f t="shared" si="0"/>
        <v>0</v>
      </c>
    </row>
    <row r="35" spans="3:7" x14ac:dyDescent="0.3">
      <c r="C35" s="20" t="s">
        <v>21</v>
      </c>
      <c r="D35" s="15">
        <v>21653834.16</v>
      </c>
      <c r="E35" s="13">
        <v>19025</v>
      </c>
      <c r="F35" s="14">
        <v>62</v>
      </c>
      <c r="G35" s="28">
        <f t="shared" si="0"/>
        <v>0</v>
      </c>
    </row>
    <row r="36" spans="3:7" x14ac:dyDescent="0.3">
      <c r="C36" s="20" t="s">
        <v>25</v>
      </c>
      <c r="D36" s="15">
        <v>32413454.289999999</v>
      </c>
      <c r="E36" s="13">
        <v>28964</v>
      </c>
      <c r="F36" s="14">
        <v>78</v>
      </c>
      <c r="G36" s="28">
        <f t="shared" si="0"/>
        <v>1</v>
      </c>
    </row>
    <row r="37" spans="3:7" x14ac:dyDescent="0.3">
      <c r="C37" s="20" t="s">
        <v>49</v>
      </c>
      <c r="D37" s="15">
        <v>30142629.16</v>
      </c>
      <c r="E37" s="13">
        <v>26993</v>
      </c>
      <c r="F37" s="14">
        <v>70</v>
      </c>
      <c r="G37" s="28">
        <f t="shared" si="0"/>
        <v>0</v>
      </c>
    </row>
    <row r="38" spans="3:7" x14ac:dyDescent="0.3">
      <c r="C38" s="20" t="s">
        <v>14</v>
      </c>
      <c r="D38" s="15">
        <v>24271402.609999999</v>
      </c>
      <c r="E38" s="13">
        <v>20573</v>
      </c>
      <c r="F38" s="14">
        <v>70</v>
      </c>
      <c r="G38" s="28">
        <f t="shared" si="0"/>
        <v>0</v>
      </c>
    </row>
    <row r="39" spans="3:7" x14ac:dyDescent="0.3">
      <c r="C39" s="20" t="s">
        <v>46</v>
      </c>
      <c r="D39" s="15">
        <v>30175070.66</v>
      </c>
      <c r="E39" s="13">
        <v>28141</v>
      </c>
      <c r="F39" s="14">
        <v>77</v>
      </c>
      <c r="G39" s="28">
        <f t="shared" si="0"/>
        <v>0</v>
      </c>
    </row>
    <row r="40" spans="3:7" x14ac:dyDescent="0.3">
      <c r="C40" s="20" t="s">
        <v>9</v>
      </c>
      <c r="D40" s="15">
        <v>30316625.920000002</v>
      </c>
      <c r="E40" s="13">
        <v>26096</v>
      </c>
      <c r="F40" s="14">
        <v>70</v>
      </c>
      <c r="G40" s="28">
        <f t="shared" si="0"/>
        <v>0</v>
      </c>
    </row>
    <row r="41" spans="3:7" x14ac:dyDescent="0.3">
      <c r="C41" s="20" t="s">
        <v>44</v>
      </c>
      <c r="D41" s="15">
        <v>32136174</v>
      </c>
      <c r="E41" s="13">
        <v>29960</v>
      </c>
      <c r="F41" s="14">
        <v>72</v>
      </c>
      <c r="G41" s="28">
        <f t="shared" si="0"/>
        <v>1</v>
      </c>
    </row>
    <row r="42" spans="3:7" x14ac:dyDescent="0.3">
      <c r="C42" s="20" t="s">
        <v>52</v>
      </c>
      <c r="D42" s="15">
        <v>20275842.579999998</v>
      </c>
      <c r="E42" s="13">
        <v>16987</v>
      </c>
      <c r="F42" s="14">
        <v>58</v>
      </c>
      <c r="G42" s="28">
        <f t="shared" si="0"/>
        <v>0</v>
      </c>
    </row>
    <row r="43" spans="3:7" x14ac:dyDescent="0.3">
      <c r="C43" s="20" t="s">
        <v>51</v>
      </c>
      <c r="D43" s="15">
        <v>30798384.190000001</v>
      </c>
      <c r="E43" s="13">
        <v>27224</v>
      </c>
      <c r="F43" s="14">
        <v>69</v>
      </c>
      <c r="G43" s="28">
        <f t="shared" si="0"/>
        <v>0</v>
      </c>
    </row>
    <row r="44" spans="3:7" x14ac:dyDescent="0.3">
      <c r="C44" s="20" t="s">
        <v>2</v>
      </c>
      <c r="D44" s="15">
        <v>35396605.649999999</v>
      </c>
      <c r="E44" s="13">
        <v>31134</v>
      </c>
      <c r="F44" s="14">
        <v>76</v>
      </c>
      <c r="G44" s="28">
        <f t="shared" si="0"/>
        <v>1</v>
      </c>
    </row>
    <row r="45" spans="3:7" x14ac:dyDescent="0.3">
      <c r="C45" s="20" t="s">
        <v>39</v>
      </c>
      <c r="D45" s="15">
        <v>27270945.73</v>
      </c>
      <c r="E45" s="13">
        <v>24579</v>
      </c>
      <c r="F45" s="14">
        <v>69</v>
      </c>
      <c r="G45" s="28">
        <f t="shared" si="0"/>
        <v>0</v>
      </c>
    </row>
    <row r="46" spans="3:7" x14ac:dyDescent="0.3">
      <c r="C46" s="20" t="s">
        <v>15</v>
      </c>
      <c r="D46" s="15">
        <v>31225256.09</v>
      </c>
      <c r="E46" s="13">
        <v>28865</v>
      </c>
      <c r="F46" s="14">
        <v>73</v>
      </c>
      <c r="G46" s="28">
        <f t="shared" si="0"/>
        <v>1</v>
      </c>
    </row>
    <row r="47" spans="3:7" x14ac:dyDescent="0.3">
      <c r="C47" s="20" t="s">
        <v>12</v>
      </c>
      <c r="D47" s="15">
        <v>24605974.260000002</v>
      </c>
      <c r="E47" s="13">
        <v>24078</v>
      </c>
      <c r="F47" s="14">
        <v>67</v>
      </c>
      <c r="G47" s="28">
        <f t="shared" si="0"/>
        <v>0</v>
      </c>
    </row>
    <row r="48" spans="3:7" x14ac:dyDescent="0.3">
      <c r="C48" s="20" t="s">
        <v>27</v>
      </c>
      <c r="D48" s="15">
        <v>29119972.559999999</v>
      </c>
      <c r="E48" s="13">
        <v>26013</v>
      </c>
      <c r="F48" s="14">
        <v>74</v>
      </c>
      <c r="G48" s="28">
        <f t="shared" si="0"/>
        <v>0</v>
      </c>
    </row>
    <row r="49" spans="3:7" x14ac:dyDescent="0.3">
      <c r="C49" s="20" t="s">
        <v>30</v>
      </c>
      <c r="D49" s="15">
        <v>36239182.490000002</v>
      </c>
      <c r="E49" s="13">
        <v>33156</v>
      </c>
      <c r="F49" s="14">
        <v>72</v>
      </c>
      <c r="G49" s="28">
        <f t="shared" si="0"/>
        <v>1</v>
      </c>
    </row>
    <row r="50" spans="3:7" x14ac:dyDescent="0.3">
      <c r="C50" s="20" t="s">
        <v>31</v>
      </c>
      <c r="D50" s="15">
        <v>32328491.579999998</v>
      </c>
      <c r="E50" s="13">
        <v>26614</v>
      </c>
      <c r="F50" s="14">
        <v>82</v>
      </c>
      <c r="G50" s="28">
        <f t="shared" si="0"/>
        <v>0</v>
      </c>
    </row>
    <row r="51" spans="3:7" x14ac:dyDescent="0.3">
      <c r="C51" s="20" t="s">
        <v>28</v>
      </c>
      <c r="D51" s="15">
        <v>35962054.170000002</v>
      </c>
      <c r="E51" s="13">
        <v>30553</v>
      </c>
      <c r="F51" s="14">
        <v>73</v>
      </c>
      <c r="G51" s="28">
        <f t="shared" si="0"/>
        <v>1</v>
      </c>
    </row>
    <row r="52" spans="3:7" x14ac:dyDescent="0.3">
      <c r="C52" s="21" t="s">
        <v>18</v>
      </c>
      <c r="D52" s="22">
        <v>23935271.5</v>
      </c>
      <c r="E52" s="23">
        <v>20389</v>
      </c>
      <c r="F52" s="24">
        <v>68</v>
      </c>
      <c r="G52" s="28">
        <f t="shared" si="0"/>
        <v>0</v>
      </c>
    </row>
  </sheetData>
  <conditionalFormatting sqref="D27:D52">
    <cfRule type="dataBar" priority="2">
      <dataBar>
        <cfvo type="num" val="0"/>
        <cfvo type="num" val="75000000"/>
        <color theme="5"/>
      </dataBar>
      <extLst>
        <ext xmlns:x14="http://schemas.microsoft.com/office/spreadsheetml/2009/9/main" uri="{B025F937-C7B1-47D3-B67F-A62EFF666E3E}">
          <x14:id>{111182D1-BDED-4320-B393-083B9A8AFF93}</x14:id>
        </ext>
      </extLst>
    </cfRule>
  </conditionalFormatting>
  <conditionalFormatting sqref="G28:G52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1182D1-BDED-4320-B393-083B9A8AFF93}">
            <x14:dataBar minLength="0" maxLength="100" gradient="0">
              <x14:cfvo type="num">
                <xm:f>0</xm:f>
              </x14:cfvo>
              <x14:cfvo type="num">
                <xm:f>75000000</xm:f>
              </x14:cfvo>
              <x14:negativeFillColor rgb="FFFF0000"/>
              <x14:axisColor rgb="FF000000"/>
            </x14:dataBar>
          </x14:cfRule>
          <xm:sqref>D27:D52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D427-9A10-44F3-9F05-BF816A3D432A}">
  <dimension ref="B4:F62"/>
  <sheetViews>
    <sheetView topLeftCell="A46" workbookViewId="0">
      <selection activeCell="C13" sqref="C13"/>
    </sheetView>
  </sheetViews>
  <sheetFormatPr defaultRowHeight="13.8" x14ac:dyDescent="0.25"/>
  <cols>
    <col min="2" max="2" width="23.8984375" bestFit="1" customWidth="1"/>
    <col min="3" max="3" width="14.59765625" bestFit="1" customWidth="1"/>
    <col min="4" max="4" width="15.3984375" customWidth="1"/>
    <col min="5" max="5" width="20.69921875" customWidth="1"/>
    <col min="6" max="6" width="14.59765625" bestFit="1" customWidth="1"/>
  </cols>
  <sheetData>
    <row r="4" spans="2:6" x14ac:dyDescent="0.25">
      <c r="B4" t="s">
        <v>65</v>
      </c>
      <c r="C4" t="s">
        <v>66</v>
      </c>
      <c r="D4" t="s">
        <v>67</v>
      </c>
      <c r="E4" t="s">
        <v>68</v>
      </c>
      <c r="F4" t="s">
        <v>69</v>
      </c>
    </row>
    <row r="5" spans="2:6" x14ac:dyDescent="0.25">
      <c r="B5">
        <v>750177492.04999995</v>
      </c>
      <c r="C5">
        <v>669020</v>
      </c>
      <c r="D5">
        <v>1800</v>
      </c>
      <c r="E5">
        <v>25</v>
      </c>
      <c r="F5" s="9">
        <v>30007099.681999996</v>
      </c>
    </row>
    <row r="11" spans="2:6" x14ac:dyDescent="0.25">
      <c r="B11" s="11" t="s">
        <v>74</v>
      </c>
      <c r="C11" t="s">
        <v>65</v>
      </c>
    </row>
    <row r="12" spans="2:6" x14ac:dyDescent="0.25">
      <c r="B12" s="12" t="s">
        <v>7</v>
      </c>
      <c r="C12">
        <v>132235004.37</v>
      </c>
    </row>
    <row r="13" spans="2:6" x14ac:dyDescent="0.25">
      <c r="B13" s="12" t="s">
        <v>0</v>
      </c>
      <c r="C13">
        <v>130269343.19</v>
      </c>
    </row>
    <row r="14" spans="2:6" x14ac:dyDescent="0.25">
      <c r="B14" s="12" t="s">
        <v>10</v>
      </c>
      <c r="C14">
        <v>127773644.39</v>
      </c>
    </row>
    <row r="15" spans="2:6" x14ac:dyDescent="0.25">
      <c r="B15" s="12" t="s">
        <v>5</v>
      </c>
      <c r="C15">
        <v>121750291.45999999</v>
      </c>
    </row>
    <row r="16" spans="2:6" x14ac:dyDescent="0.25">
      <c r="B16" s="12" t="s">
        <v>16</v>
      </c>
      <c r="C16">
        <v>120383424.56</v>
      </c>
    </row>
    <row r="17" spans="2:3" x14ac:dyDescent="0.25">
      <c r="B17" s="12" t="s">
        <v>23</v>
      </c>
      <c r="C17">
        <v>117765784.08</v>
      </c>
    </row>
    <row r="18" spans="2:3" x14ac:dyDescent="0.25">
      <c r="B18" s="12" t="s">
        <v>75</v>
      </c>
      <c r="C18">
        <v>750177492.04999995</v>
      </c>
    </row>
    <row r="24" spans="2:3" x14ac:dyDescent="0.25">
      <c r="B24" s="11" t="s">
        <v>74</v>
      </c>
      <c r="C24" t="s">
        <v>65</v>
      </c>
    </row>
    <row r="25" spans="2:3" x14ac:dyDescent="0.25">
      <c r="B25" s="12" t="s">
        <v>60</v>
      </c>
      <c r="C25">
        <v>370995356.41000003</v>
      </c>
    </row>
    <row r="26" spans="2:3" x14ac:dyDescent="0.25">
      <c r="B26" s="12" t="s">
        <v>61</v>
      </c>
      <c r="C26">
        <v>240164261.33000001</v>
      </c>
    </row>
    <row r="27" spans="2:3" x14ac:dyDescent="0.25">
      <c r="B27" s="12" t="s">
        <v>62</v>
      </c>
      <c r="C27">
        <v>139017874.31</v>
      </c>
    </row>
    <row r="28" spans="2:3" x14ac:dyDescent="0.25">
      <c r="B28" s="12" t="s">
        <v>75</v>
      </c>
      <c r="C28">
        <v>750177492.04999995</v>
      </c>
    </row>
    <row r="36" spans="2:5" x14ac:dyDescent="0.25">
      <c r="B36" s="11" t="s">
        <v>74</v>
      </c>
      <c r="C36" t="s">
        <v>65</v>
      </c>
      <c r="D36" t="s">
        <v>66</v>
      </c>
      <c r="E36" t="s">
        <v>67</v>
      </c>
    </row>
    <row r="37" spans="2:5" x14ac:dyDescent="0.25">
      <c r="B37" s="12" t="s">
        <v>42</v>
      </c>
      <c r="C37">
        <v>33361933.710000001</v>
      </c>
      <c r="D37">
        <v>30608</v>
      </c>
      <c r="E37">
        <v>77</v>
      </c>
    </row>
    <row r="38" spans="2:5" x14ac:dyDescent="0.25">
      <c r="B38" s="12" t="s">
        <v>4</v>
      </c>
      <c r="C38">
        <v>34520948.560000002</v>
      </c>
      <c r="D38">
        <v>33282</v>
      </c>
      <c r="E38">
        <v>76</v>
      </c>
    </row>
    <row r="39" spans="2:5" x14ac:dyDescent="0.25">
      <c r="B39" s="12" t="s">
        <v>45</v>
      </c>
      <c r="C39">
        <v>37033915.729999997</v>
      </c>
      <c r="D39">
        <v>30805</v>
      </c>
      <c r="E39">
        <v>81</v>
      </c>
    </row>
    <row r="40" spans="2:5" x14ac:dyDescent="0.25">
      <c r="B40" s="12" t="s">
        <v>20</v>
      </c>
      <c r="C40">
        <v>26761926.66</v>
      </c>
      <c r="D40">
        <v>24550</v>
      </c>
      <c r="E40">
        <v>71</v>
      </c>
    </row>
    <row r="41" spans="2:5" x14ac:dyDescent="0.25">
      <c r="B41" s="12" t="s">
        <v>34</v>
      </c>
      <c r="C41">
        <v>27533038.050000001</v>
      </c>
      <c r="D41">
        <v>23645</v>
      </c>
      <c r="E41">
        <v>70</v>
      </c>
    </row>
    <row r="42" spans="2:5" x14ac:dyDescent="0.25">
      <c r="B42" s="12" t="s">
        <v>37</v>
      </c>
      <c r="C42">
        <v>34079381.979999997</v>
      </c>
      <c r="D42">
        <v>30966</v>
      </c>
      <c r="E42">
        <v>80</v>
      </c>
    </row>
    <row r="43" spans="2:5" x14ac:dyDescent="0.25">
      <c r="B43" s="12" t="s">
        <v>40</v>
      </c>
      <c r="C43">
        <v>28619175.760000002</v>
      </c>
      <c r="D43">
        <v>25820</v>
      </c>
      <c r="E43">
        <v>65</v>
      </c>
    </row>
    <row r="44" spans="2:5" x14ac:dyDescent="0.25">
      <c r="B44" s="12" t="s">
        <v>21</v>
      </c>
      <c r="C44">
        <v>21653834.16</v>
      </c>
      <c r="D44">
        <v>19025</v>
      </c>
      <c r="E44">
        <v>62</v>
      </c>
    </row>
    <row r="45" spans="2:5" x14ac:dyDescent="0.25">
      <c r="B45" s="12" t="s">
        <v>25</v>
      </c>
      <c r="C45">
        <v>32413454.289999999</v>
      </c>
      <c r="D45">
        <v>28964</v>
      </c>
      <c r="E45">
        <v>78</v>
      </c>
    </row>
    <row r="46" spans="2:5" x14ac:dyDescent="0.25">
      <c r="B46" s="12" t="s">
        <v>49</v>
      </c>
      <c r="C46">
        <v>30142629.16</v>
      </c>
      <c r="D46">
        <v>26993</v>
      </c>
      <c r="E46">
        <v>70</v>
      </c>
    </row>
    <row r="47" spans="2:5" x14ac:dyDescent="0.25">
      <c r="B47" s="12" t="s">
        <v>14</v>
      </c>
      <c r="C47">
        <v>24271402.609999999</v>
      </c>
      <c r="D47">
        <v>20573</v>
      </c>
      <c r="E47">
        <v>70</v>
      </c>
    </row>
    <row r="48" spans="2:5" x14ac:dyDescent="0.25">
      <c r="B48" s="12" t="s">
        <v>46</v>
      </c>
      <c r="C48">
        <v>30175070.66</v>
      </c>
      <c r="D48">
        <v>28141</v>
      </c>
      <c r="E48">
        <v>77</v>
      </c>
    </row>
    <row r="49" spans="2:5" x14ac:dyDescent="0.25">
      <c r="B49" s="12" t="s">
        <v>9</v>
      </c>
      <c r="C49">
        <v>30316625.920000002</v>
      </c>
      <c r="D49">
        <v>26096</v>
      </c>
      <c r="E49">
        <v>70</v>
      </c>
    </row>
    <row r="50" spans="2:5" x14ac:dyDescent="0.25">
      <c r="B50" s="12" t="s">
        <v>44</v>
      </c>
      <c r="C50">
        <v>32136174</v>
      </c>
      <c r="D50">
        <v>29960</v>
      </c>
      <c r="E50">
        <v>72</v>
      </c>
    </row>
    <row r="51" spans="2:5" x14ac:dyDescent="0.25">
      <c r="B51" s="12" t="s">
        <v>52</v>
      </c>
      <c r="C51">
        <v>20275842.579999998</v>
      </c>
      <c r="D51">
        <v>16987</v>
      </c>
      <c r="E51">
        <v>58</v>
      </c>
    </row>
    <row r="52" spans="2:5" x14ac:dyDescent="0.25">
      <c r="B52" s="12" t="s">
        <v>51</v>
      </c>
      <c r="C52">
        <v>30798384.190000001</v>
      </c>
      <c r="D52">
        <v>27224</v>
      </c>
      <c r="E52">
        <v>69</v>
      </c>
    </row>
    <row r="53" spans="2:5" x14ac:dyDescent="0.25">
      <c r="B53" s="12" t="s">
        <v>2</v>
      </c>
      <c r="C53">
        <v>35396605.649999999</v>
      </c>
      <c r="D53">
        <v>31134</v>
      </c>
      <c r="E53">
        <v>76</v>
      </c>
    </row>
    <row r="54" spans="2:5" x14ac:dyDescent="0.25">
      <c r="B54" s="12" t="s">
        <v>39</v>
      </c>
      <c r="C54">
        <v>27270945.73</v>
      </c>
      <c r="D54">
        <v>24579</v>
      </c>
      <c r="E54">
        <v>69</v>
      </c>
    </row>
    <row r="55" spans="2:5" x14ac:dyDescent="0.25">
      <c r="B55" s="12" t="s">
        <v>15</v>
      </c>
      <c r="C55">
        <v>31225256.09</v>
      </c>
      <c r="D55">
        <v>28865</v>
      </c>
      <c r="E55">
        <v>73</v>
      </c>
    </row>
    <row r="56" spans="2:5" x14ac:dyDescent="0.25">
      <c r="B56" s="12" t="s">
        <v>12</v>
      </c>
      <c r="C56">
        <v>24605974.260000002</v>
      </c>
      <c r="D56">
        <v>24078</v>
      </c>
      <c r="E56">
        <v>67</v>
      </c>
    </row>
    <row r="57" spans="2:5" x14ac:dyDescent="0.25">
      <c r="B57" s="12" t="s">
        <v>27</v>
      </c>
      <c r="C57">
        <v>29119972.559999999</v>
      </c>
      <c r="D57">
        <v>26013</v>
      </c>
      <c r="E57">
        <v>74</v>
      </c>
    </row>
    <row r="58" spans="2:5" x14ac:dyDescent="0.25">
      <c r="B58" s="12" t="s">
        <v>30</v>
      </c>
      <c r="C58">
        <v>36239182.490000002</v>
      </c>
      <c r="D58">
        <v>33156</v>
      </c>
      <c r="E58">
        <v>72</v>
      </c>
    </row>
    <row r="59" spans="2:5" x14ac:dyDescent="0.25">
      <c r="B59" s="12" t="s">
        <v>31</v>
      </c>
      <c r="C59">
        <v>32328491.579999998</v>
      </c>
      <c r="D59">
        <v>26614</v>
      </c>
      <c r="E59">
        <v>82</v>
      </c>
    </row>
    <row r="60" spans="2:5" x14ac:dyDescent="0.25">
      <c r="B60" s="12" t="s">
        <v>28</v>
      </c>
      <c r="C60">
        <v>35962054.170000002</v>
      </c>
      <c r="D60">
        <v>30553</v>
      </c>
      <c r="E60">
        <v>73</v>
      </c>
    </row>
    <row r="61" spans="2:5" x14ac:dyDescent="0.25">
      <c r="B61" s="12" t="s">
        <v>18</v>
      </c>
      <c r="C61">
        <v>23935271.5</v>
      </c>
      <c r="D61">
        <v>20389</v>
      </c>
      <c r="E61">
        <v>68</v>
      </c>
    </row>
    <row r="62" spans="2:5" x14ac:dyDescent="0.25">
      <c r="B62" s="12" t="s">
        <v>75</v>
      </c>
      <c r="C62">
        <v>750177492.04999995</v>
      </c>
      <c r="D62">
        <v>669020</v>
      </c>
      <c r="E62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Shruthi Debbati</cp:lastModifiedBy>
  <dcterms:created xsi:type="dcterms:W3CDTF">2021-03-14T20:21:32Z</dcterms:created>
  <dcterms:modified xsi:type="dcterms:W3CDTF">2026-07-21T19:04:17Z</dcterms:modified>
</cp:coreProperties>
</file>